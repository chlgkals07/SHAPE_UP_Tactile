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0fc227c31e4e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_BHL 휴머노이드" sheetId="3" r:id="Rede112bd9f6b478a"/>
    <x:sheet xmlns:r="http://schemas.openxmlformats.org/officeDocument/2006/relationships" name="5_촉각센서" sheetId="6" r:id="R98da84a8bca8491e"/>
  </x:sheets>
</x:workbook>
</file>

<file path=xl/sharedStrings.xml><?xml version="1.0" encoding="utf-8"?>
<x:sst xmlns:x="http://schemas.openxmlformats.org/spreadsheetml/2006/main">
  <x:si>
    <x:t xml:space="preserve">BHL 오픈소스 휴머노이드 제작 트랙</x:t>
  </x:si>
  <x:si>
    <x:t xml:space="preserve">작성일</x:t>
  </x:si>
  <x:si>
    <x:t xml:space="preserve">번호</x:t>
  </x:si>
  <x:si>
    <x:t xml:space="preserve">품목명</x:t>
  </x:si>
  <x:si>
    <x:t xml:space="preserve">모델/규격</x:t>
  </x:si>
  <x:si>
    <x:t xml:space="preserve">수량</x:t>
  </x:si>
  <x:si>
    <x:t xml:space="preserve">사용용도</x:t>
  </x:si>
  <x:si>
    <x:t xml:space="preserve">판매처</x:t>
  </x:si>
  <x:si>
    <x:t xml:space="preserve">구매 링크</x:t>
  </x:si>
  <x:si>
    <x:t xml:space="preserve">비목(안)</x:t>
  </x:si>
  <x:si>
    <x:t xml:space="preserve">검토 단가(원)</x:t>
  </x:si>
  <x:si>
    <x:t xml:space="preserve">예상 금액(원)</x:t>
  </x:si>
  <x:si>
    <x:t xml:space="preserve">기타</x:t>
  </x:si>
  <x:si>
    <x:t xml:space="preserve">BHL 대형 액추에이터 구성품 세트</x:t>
  </x:si>
  <x:si>
    <x:t xml:space="preserve">MAD M6C12 EEE 150KV + 3D 프린트 사이클로이드 GB + B-G431B-ESC1 + 엔코더·베어링</x:t>
  </x:si>
  <x:si>
    <x:t xml:space="preserve">BHL 다리·팔의 고토크 관절을 직접 통합해 QDD 설계, 저수준 관절 제어와 보행 시스템을 학습·검증</x:t>
  </x:si>
  <x:si>
    <x:t xml:space="preserve">MAD Components USA</x:t>
  </x:si>
  <x:si>
    <x:t xml:space="preserve">바로가기</x:t>
  </x:si>
  <x:si>
    <x:t xml:space="preserve">재료비</x:t>
  </x:si>
  <x:si>
    <x:t xml:space="preserve">분할 조달 참고: 모터는 디바이스마트, B-G431B-ESC1은 DigiKey Korea, 감속기는 자체 3D 프린팅/가공</x:t>
  </x:si>
  <x:si>
    <x:t xml:space="preserve">BHL 소형 액추에이터 구성품 세트</x:t>
  </x:si>
  <x:si>
    <x:t xml:space="preserve">MAD 5010 EEE V2.0 + 경량 사이클로이드 GB·제어부</x:t>
  </x:si>
  <x:si>
    <x:t xml:space="preserve">BHL 손목·팔의 저토크 관절에 사용해 경량화 기구 설계와 제어 조건을 비교 실험</x:t>
  </x:si>
  <x:si>
    <x:t xml:space="preserve">온보드 컴퓨터</x:t>
  </x:si>
  <x:si>
    <x:t xml:space="preserve">MSI Cubi Z AI, Ryzen 7 8845HS, RAM 16GB + NVMe 1TB</x:t>
  </x:si>
  <x:si>
    <x:t xml:space="preserve">Ubuntu·ROS·CAN 드라이버를 구동하고 BHL의 실시간 제어·상태 추정·보행 정책 실행을 담당</x:t>
  </x:si>
  <x:si>
    <x:t xml:space="preserve">디바이스마트</x:t>
  </x:si>
  <x:si>
    <x:t xml:space="preserve">연구시설·장비비(안)</x:t>
  </x:si>
  <x:si>
    <x:t xml:space="preserve">IMU</x:t>
  </x:si>
  <x:si>
    <x:t xml:space="preserve">BNO085 9-axis AHRS IMU 모듈</x:t>
  </x:si>
  <x:si>
    <x:t xml:space="preserve">몸체 자세·각속도를 측정해 균형 제어, 보행 상태 추정 및 센서 융합에 사용</x:t>
  </x:si>
  <x:si>
    <x:t xml:space="preserve">USB–CAN 어댑터 (BHL용)</x:t>
  </x:si>
  <x:si>
    <x:t xml:space="preserve">Innomaker USB2CAN Module (절연형, CAN 2.0A/B, 최대 1 Mbps)</x:t>
  </x:si>
  <x:si>
    <x:t xml:space="preserve">팔·다리의 4개 1 Mbps CAN 2.0 버스를 제어 컴퓨터에 연결해 다수 관절을 안정적으로 제어</x:t>
  </x:si>
  <x:si>
    <x:t xml:space="preserve">합계</x:t>
  </x:si>
  <x:si>
    <x:t xml:space="preserve">촉각센서 기반 매니퓰레이션</x:t>
  </x:si>
</x:sst>
</file>

<file path=xl/styles.xml><?xml version="1.0" encoding="utf-8"?>
<x:styleSheet xmlns:x="http://schemas.openxmlformats.org/spreadsheetml/2006/main">
  <x:numFmts count="4">
    <x:numFmt numFmtId="176" formatCode="yyyy\-mm\-dd"/>
    <x:numFmt numFmtId="200" formatCode="yyyy-mm-dd"/>
    <x:numFmt numFmtId="201" formatCode="#,##0"/>
    <x:numFmt numFmtId="202" formatCode="0"/>
  </x:numFmts>
  <x:fonts count="14">
    <x:font>
      <x:sz val="10"/>
      <x:name val="Arial"/>
    </x:font>
    <x:font>
      <x:sz val="11"/>
      <x:name val="Calibri"/>
    </x:font>
    <x:font>
      <x:b/>
      <x:sz val="14"/>
      <x:color rgb="FF000000"/>
      <x:name val="Noto Sans"/>
    </x:font>
    <x:font>
      <x:b/>
      <x:sz val="10"/>
      <x:color rgb="FFFFFFFF"/>
      <x:name val="Noto Sans"/>
    </x:font>
    <x:font>
      <x:sz val="10"/>
      <x:color rgb="FF0563C1"/>
      <x:name val="Noto Sans"/>
    </x:font>
    <x:font>
      <x:sz val="10"/>
      <x:color rgb="FF000000"/>
      <x:name val="Noto Sans"/>
    </x:font>
    <x:font>
      <x:sz val="10"/>
      <x:color rgb="FF000000"/>
      <x:name val="Calibri"/>
    </x:font>
    <x:font>
      <x:b/>
      <x:sz val="10"/>
      <x:color rgb="FF000000"/>
      <x:name val="Noto Sans"/>
    </x:font>
    <x:font>
      <x:sz val="10"/>
      <x:name val="Arial"/>
    </x:font>
    <x:font>
      <x:sz val="8"/>
      <x:name val="굴림"/>
    </x:font>
    <x:font>
      <x:sz val="10"/>
      <x:color rgb="FF0563C1"/>
      <x:name val="Arial"/>
    </x:font>
    <x:font>
      <x:b/>
      <x:sz val="10"/>
      <x:name val="Arial"/>
    </x:font>
    <x:font>
      <x:sz val="10"/>
      <x:color rgb="FF404040"/>
      <x:name val="Noto Sans"/>
    </x:font>
    <x:font>
      <x:sz val="10"/>
      <x:color rgb="FF40404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05496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F2F2F2"/>
      </x:patternFill>
    </x:fill>
  </x:fills>
  <x:borders count="3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404040"/>
      </x:left>
      <x:right style="thin">
        <x:color rgb="FF404040"/>
      </x:right>
      <x:top style="thin">
        <x:color rgb="FF404040"/>
      </x:top>
      <x:bottom style="thin">
        <x:color rgb="FF404040"/>
      </x:bottom>
    </x:border>
  </x:borders>
  <x:cellStyleXfs count="3">
    <x:xf numFmtId="0" fontId="0" fillId="0" borderId="0"/>
    <x:xf numFmtId="0" fontId="1" fillId="0" borderId="0"/>
    <x:xf numFmtId="0" fontId="8" fillId="0" borderId="0"/>
  </x:cellStyleXfs>
  <x:cellXfs count="45">
    <x:xf numFmtId="0" fontId="0" fillId="0" borderId="0" xfId="0"/>
    <x:xf numFmtId="0" fontId="5" fillId="0" borderId="0" xfId="2" applyFont="1" applyAlignment="1">
      <x:alignment horizontal="center" vertical="center"/>
    </x:xf>
    <x:xf numFmtId="176" fontId="5" fillId="0" borderId="0" xfId="2" applyNumberFormat="1" applyFont="1" applyAlignment="1">
      <x:alignment horizontal="center" vertical="center"/>
    </x:xf>
    <x:xf numFmtId="0" fontId="3" fillId="2" borderId="1" xfId="2" applyFont="1" applyFill="1" applyBorder="1" applyAlignment="1">
      <x:alignment horizontal="center" vertical="center" wrapText="1"/>
    </x:xf>
    <x:xf numFmtId="0" fontId="5" fillId="0" borderId="1" xfId="2" applyFont="1" applyBorder="1" applyAlignment="1">
      <x:alignment horizontal="center" vertical="center" wrapText="1"/>
    </x:xf>
    <x:xf numFmtId="0" fontId="5" fillId="3" borderId="1" xfId="2" applyFont="1" applyFill="1" applyBorder="1" applyAlignment="1">
      <x:alignment horizontal="left" vertical="center" wrapText="1"/>
    </x:xf>
    <x:xf numFmtId="0" fontId="4" fillId="0" borderId="1" xfId="2" applyFont="1" applyBorder="1" applyAlignment="1">
      <x:alignment horizontal="center" vertical="center" wrapText="1"/>
    </x:xf>
    <x:xf numFmtId="3" fontId="6" fillId="0" borderId="1" xfId="2" applyNumberFormat="1" applyFont="1" applyBorder="1" applyAlignment="1">
      <x:alignment horizontal="right" vertical="center" wrapText="1"/>
    </x:xf>
    <x:xf numFmtId="0" fontId="5" fillId="0" borderId="1" xfId="2" applyFont="1" applyBorder="1" applyAlignment="1">
      <x:alignment horizontal="left" vertical="center" wrapText="1"/>
    </x:xf>
    <x:xf numFmtId="3" fontId="7" fillId="4" borderId="1" xfId="2" applyNumberFormat="1" applyFont="1" applyFill="1" applyBorder="1" applyAlignment="1">
      <x:alignment horizontal="right" vertical="center"/>
    </x:xf>
    <x:xf numFmtId="0" fontId="2" fillId="0" borderId="0" xfId="2" applyFont="1" applyAlignment="1">
      <x:alignment horizontal="center" vertical="center"/>
    </x:xf>
    <x:xf numFmtId="200" fontId="5" fillId="0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left" vertical="center" wrapText="1"/>
    </x:xf>
    <x:xf numFmtId="3" fontId="6" fillId="0" borderId="1" xfId="0" applyNumberFormat="1" applyFont="1" applyFill="1" applyBorder="1" applyAlignment="1">
      <x:alignment horizontal="right" vertical="center" wrapText="1"/>
    </x:xf>
    <x:xf numFmtId="0" fontId="5" fillId="0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3" fontId="7" fillId="4" borderId="1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vertical="center" wrapText="1"/>
    </x:xf>
    <x:xf numFmtId="3" fontId="7" fillId="4" borderId="1" xfId="0" applyNumberFormat="1" applyFont="1" applyFill="1" applyBorder="1" applyAlignment="1">
      <x:alignment horizontal="right"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left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3" fontId="6" fillId="0" borderId="2" xfId="0" applyNumberFormat="1" applyFont="1" applyFill="1" applyBorder="1" applyAlignment="1">
      <x:alignment horizontal="right" vertical="center" wrapText="1"/>
    </x:xf>
    <x:xf numFmtId="0" fontId="5" fillId="0" borderId="2" xfId="0" applyNumberFormat="1" applyFont="1" applyFill="1" applyBorder="1" applyAlignment="1">
      <x:alignment horizontal="left"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10" fillId="0" borderId="2" xfId="0" applyNumberFormat="1" applyFont="1" applyFill="1" applyBorder="1" applyAlignment="1">
      <x:alignment vertical="center" wrapText="1"/>
    </x:xf>
    <x:xf numFmtId="3" fontId="7" fillId="4" borderId="2" xfId="0" applyNumberFormat="1" applyFont="1" applyFill="1" applyBorder="1" applyAlignment="1">
      <x:alignment horizontal="right"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201" fontId="6" fillId="0" borderId="2" xfId="0" applyNumberFormat="1" applyFont="1" applyFill="1" applyBorder="1" applyAlignment="1">
      <x:alignment horizontal="right" vertical="center" wrapText="1"/>
    </x:xf>
    <x:xf numFmtId="201" fontId="7" fillId="4" borderId="2" xfId="0" applyNumberFormat="1" applyFont="1" applyFill="1" applyBorder="1" applyAlignment="1">
      <x:alignment horizontal="right"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11" fillId="0" borderId="0" xfId="0" applyNumberFormat="1" applyFont="1" applyFill="1" applyBorder="1"/>
    <x:xf numFmtId="201" fontId="11" fillId="5" borderId="0" xfId="0" applyNumberFormat="1" applyFont="1" applyFill="1" applyBorder="1"/>
    <x:xf numFmtId="201" fontId="11" fillId="5" borderId="2" xfId="0" applyNumberFormat="1" applyFont="1" applyFill="1" applyBorder="1"/>
    <x:xf numFmtId="0" fontId="12" fillId="0" borderId="2" xfId="0" applyNumberFormat="1" applyFont="1" applyFill="1" applyBorder="1" applyAlignment="1">
      <x:alignment horizontal="left" vertical="center" wrapText="1"/>
    </x:xf>
    <x:xf numFmtId="0" fontId="13" fillId="0" borderId="2" xfId="0" applyNumberFormat="1" applyFont="1" applyFill="1" applyBorder="1" applyAlignment="1">
      <x:alignment vertical="center" wrapText="1"/>
    </x:xf>
    <x:xf numFmtId="202" fontId="5" fillId="0" borderId="2" xfId="0" applyNumberFormat="1" applyFont="1" applyFill="1" applyBorder="1" applyAlignment="1">
      <x:alignment horizontal="center" vertical="center" wrapText="1"/>
    </x:xf>
    <x:xf numFmtId="202" fontId="0" fillId="0" borderId="2" xfId="0" applyNumberFormat="1" applyFont="1" applyFill="1" applyBorder="1" applyAlignment="1">
      <x:alignment horizontal="center" vertical="center" wrapText="1"/>
    </x:xf>
    <x:xf numFmtId="201" fontId="11" fillId="4" borderId="2" xfId="0" applyNumberFormat="1" applyFont="1" applyFill="1" applyBorder="1"/>
  </x:cellXfs>
  <x:cellStyles count="3">
    <x:cellStyle name="표준" xfId="0"/>
    <x:cellStyle name="Normal" xfId="2"/>
    <x:cellStyle name="Normal 2" xfId="1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2CC"/>
      <x:rgbColor rgb="FFF2F2F2"/>
      <x:rgbColor rgb="FF660066"/>
      <x:rgbColor rgb="FFFF8080"/>
      <x:rgbColor rgb="FF0563C1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05496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49e0b541af4ec1" /><Relationship Type="http://schemas.openxmlformats.org/officeDocument/2006/relationships/theme" Target="/xl/theme/theme1.xml" Id="Rbbc1827d996b4711" /><Relationship Type="http://schemas.openxmlformats.org/officeDocument/2006/relationships/sharedStrings" Target="/xl/sharedStrings.xml" Id="R588b09b2f9424a18" /><Relationship Type="http://schemas.openxmlformats.org/officeDocument/2006/relationships/worksheet" Target="/xl/worksheets/sheet1.xml" Id="Rede112bd9f6b478a" /><Relationship Type="http://schemas.openxmlformats.org/officeDocument/2006/relationships/worksheet" Target="/xl/worksheets/sheet2.xml" Id="R98da84a8bca8491e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baseColWidth="10" defaultColWidth="8.83203125" defaultRowHeight="13"/>
  <x:cols>
    <x:col min="1" max="1" width="7" customWidth="1"/>
    <x:col min="2" max="2" width="25" customWidth="1"/>
    <x:col min="3" max="3" width="43" customWidth="1"/>
    <x:col min="4" max="4" width="11" customWidth="1"/>
    <x:col min="5" max="5" width="55" customWidth="1"/>
    <x:col min="6" max="6" width="22" customWidth="1"/>
    <x:col min="7" max="7" width="13" customWidth="1"/>
    <x:col min="8" max="8" width="18" customWidth="1"/>
    <x:col min="9" max="10" width="16" customWidth="1"/>
    <x:col min="11" max="11" width="43" customWidth="1"/>
  </x:cols>
  <x:sheetData>
    <x:row r="1" ht="26" customHeight="1">
      <x:c r="A1" s="10" t="s">
        <x:v>0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14" customHeight="1">
      <x:c r="A2" s="1" t="s">
        <x:v>1</x:v>
      </x:c>
      <x:c r="B2" s="2">
        <x:v>46270</x:v>
      </x:c>
    </x:row>
    <x:row r="5" ht="28" customHeight="1">
      <x:c r="A5" s="3" t="s">
        <x:v>2</x:v>
      </x:c>
      <x:c r="B5" s="3" t="s">
        <x:v>3</x:v>
      </x:c>
      <x:c r="C5" s="3" t="s">
        <x:v>4</x:v>
      </x:c>
      <x:c r="D5" s="3" t="s">
        <x:v>5</x:v>
      </x:c>
      <x:c r="E5" s="3" t="s">
        <x:v>6</x:v>
      </x:c>
      <x:c r="F5" s="3" t="s">
        <x:v>7</x:v>
      </x:c>
      <x:c r="G5" s="3" t="s">
        <x:v>8</x:v>
      </x:c>
      <x:c r="H5" s="3" t="s">
        <x:v>9</x:v>
      </x:c>
      <x:c r="I5" s="3" t="s">
        <x:v>10</x:v>
      </x:c>
      <x:c r="J5" s="3" t="s">
        <x:v>11</x:v>
      </x:c>
      <x:c r="K5" s="3" t="s">
        <x:v>12</x:v>
      </x:c>
    </x:row>
    <x:row r="6" ht="56" customHeight="1">
      <x:c r="A6" s="4">
        <x:v>1</x:v>
      </x:c>
      <x:c r="B6" s="4" t="s">
        <x:v>13</x:v>
      </x:c>
      <x:c r="C6" s="4" t="s">
        <x:v>14</x:v>
      </x:c>
      <x:c r="D6" s="4">
        <x:v>10</x:v>
      </x:c>
      <x:c r="E6" s="5" t="s">
        <x:v>15</x:v>
      </x:c>
      <x:c r="F6" s="4" t="s">
        <x:v>16</x:v>
      </x:c>
      <x:c r="G6" s="6" t="s">
        <x:v>17</x:v>
      </x:c>
      <x:c r="H6" s="4" t="s">
        <x:v>18</x:v>
      </x:c>
      <x:c r="I6" s="7">
        <x:v>252672</x:v>
      </x:c>
      <x:c r="J6" s="7" t="n">
        <x:f>D6*I6</x:f>
        <x:v>2526720</x:v>
      </x:c>
      <x:c r="K6" s="8" t="s">
        <x:v>19</x:v>
      </x:c>
    </x:row>
    <x:row r="7" ht="42" customHeight="1">
      <x:c r="A7" s="4">
        <x:v>2</x:v>
      </x:c>
      <x:c r="B7" s="4" t="s">
        <x:v>20</x:v>
      </x:c>
      <x:c r="C7" s="4" t="s">
        <x:v>21</x:v>
      </x:c>
      <x:c r="D7" s="4">
        <x:v>12</x:v>
      </x:c>
      <x:c r="E7" s="5" t="s">
        <x:v>22</x:v>
      </x:c>
      <x:c r="F7" s="4" t="s">
        <x:v>16</x:v>
      </x:c>
      <x:c r="G7" s="6" t="s">
        <x:v>17</x:v>
      </x:c>
      <x:c r="H7" s="4" t="s">
        <x:v>18</x:v>
      </x:c>
      <x:c r="I7" s="7">
        <x:v>182784</x:v>
      </x:c>
      <x:c r="J7" s="7" t="n">
        <x:f>D7*I7</x:f>
        <x:v>2193408</x:v>
      </x:c>
      <x:c r="K7" s="8"/>
    </x:row>
    <x:row r="8" ht="42" customHeight="1">
      <x:c r="A8" s="4">
        <x:v>3</x:v>
      </x:c>
      <x:c r="B8" s="4" t="s">
        <x:v>23</x:v>
      </x:c>
      <x:c r="C8" s="4" t="s">
        <x:v>24</x:v>
      </x:c>
      <x:c r="D8" s="4">
        <x:v>1</x:v>
      </x:c>
      <x:c r="E8" s="5" t="s">
        <x:v>25</x:v>
      </x:c>
      <x:c r="F8" s="4" t="s">
        <x:v>26</x:v>
      </x:c>
      <x:c r="G8" s="6" t="s">
        <x:v>17</x:v>
      </x:c>
      <x:c r="H8" s="4" t="s">
        <x:v>27</x:v>
      </x:c>
      <x:c r="I8" s="7">
        <x:v>1474330</x:v>
      </x:c>
      <x:c r="J8" s="7" t="n">
        <x:f>D8*I8</x:f>
        <x:v>1474330</x:v>
      </x:c>
      <x:c r="K8" s="8"/>
    </x:row>
    <x:row r="9" ht="42" customHeight="1">
      <x:c r="A9" s="4">
        <x:v>4</x:v>
      </x:c>
      <x:c r="B9" s="4" t="s">
        <x:v>28</x:v>
      </x:c>
      <x:c r="C9" s="4" t="s">
        <x:v>29</x:v>
      </x:c>
      <x:c r="D9" s="4">
        <x:v>1</x:v>
      </x:c>
      <x:c r="E9" s="5" t="s">
        <x:v>30</x:v>
      </x:c>
      <x:c r="F9" s="4" t="s">
        <x:v>26</x:v>
      </x:c>
      <x:c r="G9" s="6" t="s">
        <x:v>17</x:v>
      </x:c>
      <x:c r="H9" s="4" t="s">
        <x:v>18</x:v>
      </x:c>
      <x:c r="I9" s="7">
        <x:v>28190</x:v>
      </x:c>
      <x:c r="J9" s="7" t="n">
        <x:f>D9*I9</x:f>
        <x:v>28190</x:v>
      </x:c>
      <x:c r="K9" s="8"/>
    </x:row>
    <x:row r="10" ht="42" customHeight="1">
      <x:c r="A10" s="4">
        <x:v>5</x:v>
      </x:c>
      <x:c r="B10" s="4" t="s">
        <x:v>31</x:v>
      </x:c>
      <x:c r="C10" s="4" t="s">
        <x:v>32</x:v>
      </x:c>
      <x:c r="D10" s="4">
        <x:v>4</x:v>
      </x:c>
      <x:c r="E10" s="5" t="s">
        <x:v>33</x:v>
      </x:c>
      <x:c r="F10" s="4" t="s">
        <x:v>26</x:v>
      </x:c>
      <x:c r="G10" s="6" t="s">
        <x:v>17</x:v>
      </x:c>
      <x:c r="H10" s="4" t="s">
        <x:v>18</x:v>
      </x:c>
      <x:c r="I10" s="7">
        <x:v>71500</x:v>
      </x:c>
      <x:c r="J10" s="7" t="n">
        <x:f>D10*I10</x:f>
        <x:v>286000</x:v>
      </x:c>
      <x:c r="K10" s="8"/>
    </x:row>
    <x:row r="11" ht="44" customHeight="1">
      <x:c r="I11" s="9" t="s">
        <x:v>34</x:v>
      </x:c>
      <x:c r="J11" s="9" t="n">
        <x:f>SUM(J6:J10)</x:f>
        <x:v>6508648</x:v>
      </x:c>
    </x:row>
  </x:sheetData>
  <x:mergeCells>
    <x:mergeCell ref="A1:K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baseColWidth="10" defaultColWidth="8.83203125" defaultRowHeight="13"/>
  <x:cols>
    <x:col min="1" max="1" width="7" customWidth="1"/>
    <x:col min="2" max="2" width="25" customWidth="1"/>
    <x:col min="3" max="3" width="43" customWidth="1"/>
    <x:col min="4" max="4" width="11" customWidth="1"/>
    <x:col min="5" max="5" width="55" customWidth="1"/>
    <x:col min="6" max="6" width="22" customWidth="1"/>
    <x:col min="7" max="7" width="32" hidden="0" customWidth="1"/>
    <x:col min="8" max="8" width="18" customWidth="1"/>
    <x:col min="9" max="10" width="16" customWidth="1"/>
    <x:col min="11" max="11" width="43" customWidth="1"/>
  </x:cols>
  <x:sheetData>
    <x:row r="1" ht="26" customHeight="1">
      <x:c r="A1" s="10" t="s">
        <x:v>35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14" customHeight="1">
      <x:c r="A2" s="1" t="s">
        <x:v>1</x:v>
      </x:c>
      <x:c r="B2" s="11" t="n">
        <x:v>46292</x:v>
      </x:c>
    </x:row>
    <x:row r="5" ht="28" customHeight="1">
      <x:c r="A5" s="3" t="s">
        <x:v>2</x:v>
      </x:c>
      <x:c r="B5" s="3" t="s">
        <x:v>3</x:v>
      </x:c>
      <x:c r="C5" s="3" t="s">
        <x:v>4</x:v>
      </x:c>
      <x:c r="D5" s="3" t="s">
        <x:v>5</x:v>
      </x:c>
      <x:c r="E5" s="3" t="s">
        <x:v>6</x:v>
      </x:c>
      <x:c r="F5" s="3" t="s">
        <x:v>7</x:v>
      </x:c>
      <x:c r="G5" s="3" t="s">
        <x:v>8</x:v>
      </x:c>
      <x:c r="H5" s="3" t="s">
        <x:v>9</x:v>
      </x:c>
      <x:c r="I5" s="3" t="s">
        <x:v>10</x:v>
      </x:c>
      <x:c r="J5" s="3" t="s">
        <x:v>11</x:v>
      </x:c>
      <x:c r="K5" s="3" t="s">
        <x:v>12</x:v>
      </x:c>
    </x:row>
    <x:row r="6" ht="68" customHeight="1">
      <x:c r="A6" s="24" t="n">
        <x:v>1</x:v>
      </x:c>
      <x:c r="B6" s="24" t="str">
        <x:v>PaXini 촉각센서 — 손끝형</x:v>
      </x:c>
      <x:c r="C6" s="24" t="str">
        <x:v>PX-6AX GEN3 DP-S2015-Elite, 20×15×10 mm</x:v>
      </x:c>
      <x:c r="D6" s="42" t="n">
        <x:v>5</x:v>
      </x:c>
      <x:c r="E6" s="25" t="str">
        <x:v>LEAP Hand 네 손가락 끝에 4개를 장착하고 예비 1개를 확보해 분산 3축 힘·접촉 위치·미끄럼 관련 신호를 tactile policy 입력으로 사용</x:v>
      </x:c>
      <x:c r="F6" s="24" t="str">
        <x:v>디바이스마트</x:v>
      </x:c>
      <x:c r="G6" s="26" t="str">
        <x:v>https://www.devicemart.co.kr/goods/view?no=16040501</x:v>
      </x:c>
      <x:c r="H6" s="24" t="str">
        <x:v>재료비</x:v>
      </x:c>
      <x:c r="I6" s="33" t="n">
        <x:v>90200</x:v>
      </x:c>
      <x:c r="J6" s="33" t="n">
        <x:f>D6*I6</x:f>
        <x:v>451000</x:v>
      </x:c>
      <x:c r="K6" s="40" t="str">
        <x:v>5개 = 운용 4개 + 예비 1개. 상품명·VAT 포함 단가·링크 확인(2026-09-27). 평균 준비기간 [해외] 1주일. GEN3용 장착부 제작과 하네스 포함 여부 확인 필요</x:v>
      </x:c>
    </x:row>
    <x:row r="7" ht="68" customHeight="1">
      <x:c r="A7" s="24" t="n">
        <x:v>2</x:v>
      </x:c>
      <x:c r="B7" s="24" t="str">
        <x:v>PaXini 촉각센서 — finger pad형</x:v>
      </x:c>
      <x:c r="C7" s="24" t="str">
        <x:v>PX-6AX GEN3 IP-S1610-Elite, 16×10×8 mm</x:v>
      </x:c>
      <x:c r="D7" s="42" t="n">
        <x:v>5</x:v>
      </x:c>
      <x:c r="E7" s="25" t="str">
        <x:v>LEAP Hand finger pad에 4개를 장착하고 예비 1개를 확보해 power grasp와 in-hand manipulation 중 접촉 이동·전단력 변화를 측정</x:v>
      </x:c>
      <x:c r="F7" s="24" t="str">
        <x:v>디바이스마트</x:v>
      </x:c>
      <x:c r="G7" s="26" t="str">
        <x:v>https://www.devicemart.co.kr/goods/view?no=16040502</x:v>
      </x:c>
      <x:c r="H7" s="24" t="str">
        <x:v>재료비</x:v>
      </x:c>
      <x:c r="I7" s="33" t="n">
        <x:v>90200</x:v>
      </x:c>
      <x:c r="J7" s="33" t="n">
        <x:f>D7*I7</x:f>
        <x:v>451000</x:v>
      </x:c>
      <x:c r="K7" s="40" t="str">
        <x:v>5개 = 운용 4개 + 예비 1개. 상품명·VAT 포함 단가·링크 확인(2026-09-27). 평균 준비기간 [해외] 1주일. GEN3용 장착부 제작과 하네스 포함 여부 확인 필요</x:v>
      </x:c>
    </x:row>
    <x:row r="8" ht="68" customHeight="1">
      <x:c r="A8" s="32" t="n">
        <x:v>3</x:v>
      </x:c>
      <x:c r="B8" s="29" t="str">
        <x:v>PaXini 고속 통신 통합 보드</x:v>
      </x:c>
      <x:c r="C8" s="29" t="str">
        <x:v>USB to UART [paxini-02]</x:v>
      </x:c>
      <x:c r="D8" s="43" t="n">
        <x:v>2</x:v>
      </x:c>
      <x:c r="E8" s="29" t="str">
        <x:v>보드당 센서 4개 구성을 기준으로 PaXini GEN3 센서 8개의 데이터를 두 경로로 PC에 수집해 Linux 기반 tactile acquisition과 정책 학습 파이프라인에 연결</x:v>
      </x:c>
      <x:c r="F8" s="32" t="str">
        <x:v>디바이스마트</x:v>
      </x:c>
      <x:c r="G8" s="30" t="str">
        <x:v>https://www.devicemart.co.kr/goods/view?no=16040513</x:v>
      </x:c>
      <x:c r="H8" s="32" t="str">
        <x:v>재료비</x:v>
      </x:c>
      <x:c r="I8" s="34" t="n">
        <x:v>225500</x:v>
      </x:c>
      <x:c r="J8" s="34" t="n">
        <x:f>D8*I8</x:f>
        <x:v>451000</x:v>
      </x:c>
      <x:c r="K8" s="41" t="str">
        <x:v>2개 = 운용 보드 2개, 예비 보드 미포함. 논문 공개 구성의 보드당 4센서 구조를 기준으로 산정. 판매 페이지는 최대 28개 센서 지원을 표기하지만 8센서 동시 고속 출력·전원 공급은 별도 확인 필요. 하네스·전원·USB 케이블 비용은 총액 미포함</x:v>
      </x:c>
    </x:row>
    <x:row r="9" ht="54" customHeight="1">
      <x:c r="A9" s="32" t="n">
        <x:v>4</x:v>
      </x:c>
      <x:c r="B9" s="29" t="str">
        <x:v>XELA uSkin LEAP Hand 통합 구성</x:v>
      </x:c>
      <x:c r="C9" s="29" t="str">
        <x:v>uSkin ALHA + uSkin Patch, 368 sensing points</x:v>
      </x:c>
      <x:c r="D9" s="32" t="n">
        <x:v>1</x:v>
      </x:c>
      <x:c r="E9" s="29" t="str">
        <x:v>LEAP Hand의 fingertip·phalange·palm에서 전손 3축 접촉력을 수집해 grasp stabilization, slip 및 tactile/proprioceptive policy 연구</x:v>
      </x:c>
      <x:c r="F9" s="32" t="str">
        <x:v>XELA Robotics 공식 견적</x:v>
      </x:c>
      <x:c r="G9" s="30" t="str">
        <x:v>https://xelarobotics.com/products/for-leap-hand/</x:v>
      </x:c>
      <x:c r="H9" s="32" t="str">
        <x:v>재료비</x:v>
      </x:c>
      <x:c r="I9" s="35"/>
      <x:c r="J9" s="35"/>
      <x:c r="K9" s="41" t="str">
        <x:v>공식 LEAP Hand 페이지 정상 접속 확인(2026-09-27). 368 sensing points, 견적 문의 방식. 완성 Hand가 아닌 기존 LEAP retrofit용 센서·CAN interface·SDK 구성과 가격 회신 후 반영. 현재 총액 미포함</x:v>
      </x:c>
    </x:row>
    <x:row r="10" ht="54" customHeight="1">
      <x:c r="A10" s="32" t="n">
        <x:v>5</x:v>
      </x:c>
      <x:c r="B10" s="29" t="str">
        <x:v>GelSight Mini 촉각센서</x:v>
      </x:c>
      <x:c r="C10" s="29" t="str">
        <x:v>GelSight Mini Robotics Package, SKU GSS-R2D-00022</x:v>
      </x:c>
      <x:c r="D10" s="32" t="n">
        <x:v>4</x:v>
      </x:c>
      <x:c r="E10" s="29" t="str">
        <x:v>LEAP Hand 네 손가락의 접촉 영상·depth·geometry를 이용한 물체 상태 추정과 tactile representation learning</x:v>
      </x:c>
      <x:c r="F10" s="32" t="str">
        <x:v>GelSight 공식몰/국내 견적 문의</x:v>
      </x:c>
      <x:c r="G10" s="30" t="str">
        <x:v>https://www.gelsight.com/product/gelsight-mini-robotics-package/</x:v>
      </x:c>
      <x:c r="H10" s="32" t="str">
        <x:v>재료비</x:v>
      </x:c>
      <x:c r="I10" s="35"/>
      <x:c r="J10" s="35"/>
      <x:c r="K10" s="41" t="str">
        <x:v>공식 Robotics Package 페이지 정상 접속 확인(2026-09-27). 공식 표시가 USD 560, 예상 납기 4주. 국내 공급·원화 견적·VAT·배송·보증·USB 다중 연결 확인 후 반영. 현재 총액 미포함</x:v>
      </x:c>
    </x:row>
    <x:row r="11" ht="28" customHeight="1">
      <x:c r="A11"/>
      <x:c r="B11"/>
      <x:c r="C11"/>
      <x:c r="D11"/>
      <x:c r="E11"/>
      <x:c r="F11"/>
      <x:c r="G11"/>
      <x:c r="H11"/>
      <x:c r="I11" s="39" t="str">
        <x:v>확정분 합계</x:v>
      </x:c>
      <x:c r="J11" s="44" t="n">
        <x:f>SUM(J6:J10)</x:f>
        <x:v>1353000</x:v>
      </x:c>
      <x:c r="K11"/>
    </x:row>
  </x:sheetData>
  <x:mergeCells>
    <x:mergeCell ref="A1:K1"/>
  </x:mergeCells>
  <x:pageMargins left="0.7" right="0.7" top="0.75" bottom="0.75" header="0.3" footer="0.3"/>
</x:worksheet>
</file>